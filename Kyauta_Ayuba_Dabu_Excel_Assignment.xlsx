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PC\Documents\"/>
    </mc:Choice>
  </mc:AlternateContent>
  <bookViews>
    <workbookView xWindow="0" yWindow="0" windowWidth="20490" windowHeight="7635"/>
  </bookViews>
  <sheets>
    <sheet name="Sheet1" sheetId="1" r:id="rId1"/>
    <sheet name="Analysis" sheetId="2" r:id="rId2"/>
  </sheets>
  <calcPr calcId="152511"/>
  <pivotCaches>
    <pivotCache cacheId="32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2" i="1"/>
  <c r="B2" i="2"/>
  <c r="B5" i="2"/>
  <c r="B4" i="2"/>
  <c r="B3" i="2"/>
</calcChain>
</file>

<file path=xl/sharedStrings.xml><?xml version="1.0" encoding="utf-8"?>
<sst xmlns="http://schemas.openxmlformats.org/spreadsheetml/2006/main" count="175" uniqueCount="109">
  <si>
    <t>Customer ID</t>
  </si>
  <si>
    <t>FirstName</t>
  </si>
  <si>
    <t>SurName</t>
  </si>
  <si>
    <t>Gender</t>
  </si>
  <si>
    <t>Department</t>
  </si>
  <si>
    <t>Qauntity Sold</t>
  </si>
  <si>
    <t>Amount Sold</t>
  </si>
  <si>
    <t>Date Sold</t>
  </si>
  <si>
    <t>100A</t>
  </si>
  <si>
    <t>Albert</t>
  </si>
  <si>
    <t>Peterson</t>
  </si>
  <si>
    <t>Male</t>
  </si>
  <si>
    <t>Babies</t>
  </si>
  <si>
    <t>101b</t>
  </si>
  <si>
    <t>Prince</t>
  </si>
  <si>
    <t>jaden</t>
  </si>
  <si>
    <t>Fruits and Veggies</t>
  </si>
  <si>
    <t>102c</t>
  </si>
  <si>
    <t>Green</t>
  </si>
  <si>
    <t>Nathan</t>
  </si>
  <si>
    <t>Pasteries</t>
  </si>
  <si>
    <t>103d</t>
  </si>
  <si>
    <t>philo</t>
  </si>
  <si>
    <t>White</t>
  </si>
  <si>
    <t>Female</t>
  </si>
  <si>
    <t>Fashion</t>
  </si>
  <si>
    <t>104w</t>
  </si>
  <si>
    <t>John</t>
  </si>
  <si>
    <t>Brown</t>
  </si>
  <si>
    <t>105F</t>
  </si>
  <si>
    <t>Josphine</t>
  </si>
  <si>
    <t>Trunk</t>
  </si>
  <si>
    <t>106Y</t>
  </si>
  <si>
    <t>Carol</t>
  </si>
  <si>
    <t>Jordan</t>
  </si>
  <si>
    <t>107T</t>
  </si>
  <si>
    <t>Stephnie</t>
  </si>
  <si>
    <t>Johnson</t>
  </si>
  <si>
    <t>108p</t>
  </si>
  <si>
    <t>Craig</t>
  </si>
  <si>
    <t>Lambert</t>
  </si>
  <si>
    <t>Shoes</t>
  </si>
  <si>
    <t>109Y</t>
  </si>
  <si>
    <t>Ginika</t>
  </si>
  <si>
    <t>Nzleu</t>
  </si>
  <si>
    <t>110U</t>
  </si>
  <si>
    <t>Chidinma</t>
  </si>
  <si>
    <t>nzelu</t>
  </si>
  <si>
    <t>111K</t>
  </si>
  <si>
    <t>Joseph</t>
  </si>
  <si>
    <t>Obi</t>
  </si>
  <si>
    <t>Food Stuff</t>
  </si>
  <si>
    <t>112l</t>
  </si>
  <si>
    <t>Chike</t>
  </si>
  <si>
    <t>113G</t>
  </si>
  <si>
    <t>Joshua</t>
  </si>
  <si>
    <t>Peter</t>
  </si>
  <si>
    <t>114M</t>
  </si>
  <si>
    <t>mary</t>
  </si>
  <si>
    <t>Chukwudi</t>
  </si>
  <si>
    <t>115C</t>
  </si>
  <si>
    <t>Mathew</t>
  </si>
  <si>
    <t>Phillip</t>
  </si>
  <si>
    <t>116X</t>
  </si>
  <si>
    <t>Mayjane</t>
  </si>
  <si>
    <t>Kamen</t>
  </si>
  <si>
    <t>117H</t>
  </si>
  <si>
    <t>Chijioke</t>
  </si>
  <si>
    <t>john</t>
  </si>
  <si>
    <t>118S</t>
  </si>
  <si>
    <t>Oluebube</t>
  </si>
  <si>
    <t>119V</t>
  </si>
  <si>
    <t>Solomon</t>
  </si>
  <si>
    <t>Chukwuma</t>
  </si>
  <si>
    <t>120Q</t>
  </si>
  <si>
    <t>chioma</t>
  </si>
  <si>
    <t>Chukwuka</t>
  </si>
  <si>
    <t>121E</t>
  </si>
  <si>
    <t>Chika</t>
  </si>
  <si>
    <t>Mark</t>
  </si>
  <si>
    <t>122K</t>
  </si>
  <si>
    <t>Ujunwa</t>
  </si>
  <si>
    <t>Obidike</t>
  </si>
  <si>
    <t>123P</t>
  </si>
  <si>
    <t>Kamsi</t>
  </si>
  <si>
    <t>Emeka</t>
  </si>
  <si>
    <t>124H</t>
  </si>
  <si>
    <t>nafisat</t>
  </si>
  <si>
    <t>125E</t>
  </si>
  <si>
    <t>Tochukwu</t>
  </si>
  <si>
    <t>Emenike</t>
  </si>
  <si>
    <t>126Q</t>
  </si>
  <si>
    <t>Chinaza</t>
  </si>
  <si>
    <t>Chima</t>
  </si>
  <si>
    <t>127I</t>
  </si>
  <si>
    <t>Frank</t>
  </si>
  <si>
    <t>TOTAL AMOUNT SOLD</t>
  </si>
  <si>
    <t>AVERAGE QUANTITY SOLD</t>
  </si>
  <si>
    <t>HIGHEST AMOUNT SOLD</t>
  </si>
  <si>
    <t>DIFF. BETWEEN MAX &amp; MIN QUANTITY SOLD</t>
  </si>
  <si>
    <t>Full Name</t>
  </si>
  <si>
    <t>Grand Total</t>
  </si>
  <si>
    <t>Sum of Amount Sold</t>
  </si>
  <si>
    <t>Average of Qauntity Sold</t>
  </si>
  <si>
    <t>2002</t>
  </si>
  <si>
    <t>2003</t>
  </si>
  <si>
    <t>2004</t>
  </si>
  <si>
    <t>2005</t>
  </si>
  <si>
    <t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</si>
</sst>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5" formatCode="_-[$$-409]* #,##0.00_ ;_-[$$-409]* \-#,##0.00\ ;_-[$$-409]* &quot;-&quot;??_ ;_-@_ "/>
    <numFmt numFmtId="166" formatCode="[$$-1009]#,##0.00"/>
    <numFmt numFmtId="168" formatCode="_-[$$-C09]* #,##0.00_-;\-[$$-C09]* #,##0.00_-;_-[$$-C09]* &quot;-&quot;??_-;_-@_-"/>
    <numFmt numFmtId="169" formatCode="[$$-C09]#,##0.00"/>
  </numFmts>
  <fonts count="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</fills>
  <borders count="5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4" borderId="0" applyNumberFormat="0" applyBorder="0" applyAlignment="0" applyProtection="0"/>
    <xf numFmtId="0" fontId="3" fillId="8" borderId="0" applyNumberFormat="0" applyBorder="0" applyAlignment="0" applyProtection="0"/>
    <xf numFmtId="0" fontId="3" fillId="12" borderId="0" applyNumberFormat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right"/>
    </xf>
    <xf numFmtId="14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168" fontId="2" fillId="2" borderId="0" xfId="1" applyNumberFormat="1"/>
    <xf numFmtId="0" fontId="2" fillId="2" borderId="0" xfId="1"/>
    <xf numFmtId="0" fontId="3" fillId="4" borderId="0" xfId="2"/>
    <xf numFmtId="0" fontId="3" fillId="8" borderId="0" xfId="3"/>
    <xf numFmtId="0" fontId="3" fillId="12" borderId="0" xfId="4"/>
    <xf numFmtId="165" fontId="3" fillId="12" borderId="0" xfId="4" applyNumberFormat="1"/>
    <xf numFmtId="0" fontId="5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pivotButton="1"/>
    <xf numFmtId="0" fontId="0" fillId="0" borderId="0" xfId="0" applyAlignment="1">
      <alignment horizontal="left"/>
    </xf>
    <xf numFmtId="169" fontId="0" fillId="0" borderId="0" xfId="0" applyNumberFormat="1"/>
    <xf numFmtId="10" fontId="0" fillId="0" borderId="0" xfId="0" applyNumberFormat="1"/>
    <xf numFmtId="0" fontId="3" fillId="6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3" fillId="12" borderId="0" xfId="0" applyFont="1" applyFill="1" applyAlignment="1">
      <alignment horizontal="left"/>
    </xf>
    <xf numFmtId="169" fontId="3" fillId="6" borderId="0" xfId="0" applyNumberFormat="1" applyFont="1" applyFill="1"/>
    <xf numFmtId="169" fontId="1" fillId="9" borderId="0" xfId="0" applyNumberFormat="1" applyFont="1" applyFill="1"/>
    <xf numFmtId="0" fontId="1" fillId="11" borderId="0" xfId="0" applyFont="1" applyFill="1" applyAlignment="1">
      <alignment horizontal="left"/>
    </xf>
    <xf numFmtId="169" fontId="1" fillId="11" borderId="0" xfId="0" applyNumberFormat="1" applyFont="1" applyFill="1"/>
    <xf numFmtId="169" fontId="3" fillId="12" borderId="0" xfId="0" applyNumberFormat="1" applyFont="1" applyFill="1"/>
    <xf numFmtId="0" fontId="3" fillId="3" borderId="0" xfId="0" applyFont="1" applyFill="1" applyAlignment="1">
      <alignment horizontal="left"/>
    </xf>
    <xf numFmtId="0" fontId="6" fillId="7" borderId="0" xfId="0" applyFont="1" applyFill="1" applyAlignment="1">
      <alignment horizontal="left"/>
    </xf>
    <xf numFmtId="0" fontId="6" fillId="8" borderId="0" xfId="0" applyFont="1" applyFill="1" applyAlignment="1">
      <alignment horizontal="left"/>
    </xf>
    <xf numFmtId="0" fontId="6" fillId="10" borderId="0" xfId="0" applyFont="1" applyFill="1" applyAlignment="1">
      <alignment horizontal="left"/>
    </xf>
    <xf numFmtId="169" fontId="6" fillId="7" borderId="0" xfId="0" applyNumberFormat="1" applyFont="1" applyFill="1"/>
    <xf numFmtId="169" fontId="6" fillId="8" borderId="0" xfId="0" applyNumberFormat="1" applyFont="1" applyFill="1"/>
    <xf numFmtId="169" fontId="6" fillId="10" borderId="0" xfId="0" applyNumberFormat="1" applyFont="1" applyFill="1"/>
    <xf numFmtId="169" fontId="4" fillId="0" borderId="1" xfId="0" applyNumberFormat="1" applyFont="1" applyBorder="1"/>
    <xf numFmtId="0" fontId="7" fillId="5" borderId="0" xfId="0" applyFont="1" applyFill="1" applyAlignment="1">
      <alignment horizontal="left"/>
    </xf>
    <xf numFmtId="10" fontId="7" fillId="5" borderId="0" xfId="0" applyNumberFormat="1" applyFont="1" applyFill="1"/>
    <xf numFmtId="0" fontId="6" fillId="3" borderId="0" xfId="0" applyFont="1" applyFill="1" applyAlignment="1">
      <alignment horizontal="left"/>
    </xf>
    <xf numFmtId="10" fontId="6" fillId="3" borderId="0" xfId="0" applyNumberFormat="1" applyFont="1" applyFill="1"/>
    <xf numFmtId="169" fontId="3" fillId="3" borderId="0" xfId="0" applyNumberFormat="1" applyFont="1" applyFill="1"/>
    <xf numFmtId="0" fontId="3" fillId="13" borderId="0" xfId="0" applyFont="1" applyFill="1" applyAlignment="1">
      <alignment horizontal="left"/>
    </xf>
    <xf numFmtId="169" fontId="3" fillId="13" borderId="0" xfId="0" applyNumberFormat="1" applyFont="1" applyFill="1"/>
  </cellXfs>
  <cellStyles count="5">
    <cellStyle name="Accent2" xfId="2" builtinId="33"/>
    <cellStyle name="Accent4" xfId="3" builtinId="41"/>
    <cellStyle name="Accent6" xfId="4" builtinId="49"/>
    <cellStyle name="Good" xfId="1" builtinId="26"/>
    <cellStyle name="Normal" xfId="0" builtinId="0"/>
  </cellStyles>
  <dxfs count="31">
    <dxf>
      <font>
        <color rgb="FFFF33CC"/>
      </font>
    </dxf>
    <dxf>
      <font>
        <color rgb="FF0070C0"/>
      </font>
    </dxf>
    <dxf>
      <font>
        <color rgb="FF00B05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8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9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7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5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border diagonalUp="0" diagonalDown="0" outline="0">
        <left/>
        <right/>
        <top style="thin">
          <color theme="4"/>
        </top>
        <bottom style="double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5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8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8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7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5"/>
          <bgColor theme="6"/>
        </patternFill>
      </fill>
    </dxf>
    <dxf>
      <numFmt numFmtId="166" formatCode="[$$-1009]#,##0.00"/>
      <alignment horizontal="right" vertical="bottom" textRotation="0" wrapText="0" indent="0" justifyLastLine="0" shrinkToFit="0" readingOrder="0"/>
    </dxf>
    <dxf>
      <numFmt numFmtId="19" formatCode="dd/mm/yyyy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C" refreshedDate="46169.671156597222" createdVersion="5" refreshedVersion="5" minRefreshableVersion="3" recordCount="30">
  <cacheSource type="worksheet">
    <worksheetSource name="Table1"/>
  </cacheSource>
  <cacheFields count="8">
    <cacheField name="Customer ID" numFmtId="0">
      <sharedItems containsBlank="1"/>
    </cacheField>
    <cacheField name="FirstName" numFmtId="0">
      <sharedItems containsBlank="1"/>
    </cacheField>
    <cacheField name="SurName" numFmtId="0">
      <sharedItems containsBlank="1"/>
    </cacheField>
    <cacheField name="Gender" numFmtId="0">
      <sharedItems containsBlank="1" count="3">
        <s v="Male"/>
        <s v="Female"/>
        <m/>
      </sharedItems>
    </cacheField>
    <cacheField name="Department" numFmtId="0">
      <sharedItems containsBlank="1" count="7">
        <s v="Babies"/>
        <s v="Fruits and Veggies"/>
        <s v="Pasteries"/>
        <s v="Fashion"/>
        <s v="Shoes"/>
        <s v="Food Stuff"/>
        <m/>
      </sharedItems>
    </cacheField>
    <cacheField name="Qauntity Sold" numFmtId="0">
      <sharedItems containsString="0" containsBlank="1" containsNumber="1" containsInteger="1" minValue="10" maxValue="60"/>
    </cacheField>
    <cacheField name="Amount Sold" numFmtId="166">
      <sharedItems containsString="0" containsBlank="1" containsNumber="1" containsInteger="1" minValue="5000" maxValue="20000000" count="24">
        <n v="150000"/>
        <n v="70000"/>
        <n v="23000"/>
        <n v="100000"/>
        <n v="90000"/>
        <n v="45000"/>
        <n v="28000"/>
        <n v="65000"/>
        <n v="30000"/>
        <n v="20000000"/>
        <n v="450000"/>
        <n v="50000"/>
        <n v="10000"/>
        <n v="35000"/>
        <n v="15000"/>
        <n v="55000"/>
        <n v="5000"/>
        <n v="60000"/>
        <n v="105000"/>
        <n v="1000000"/>
        <n v="500000"/>
        <n v="25000"/>
        <n v="800000"/>
        <m/>
      </sharedItems>
    </cacheField>
    <cacheField name="Date Sold" numFmtId="14">
      <sharedItems containsNonDate="0" containsDate="1" containsString="0" containsBlank="1" minDate="2002-12-10T00:00:00" maxDate="2024-12-26T00:00:00" count="26">
        <d v="2003-09-11T00:00:00"/>
        <d v="2003-03-15T00:00:00"/>
        <d v="2002-12-10T00:00:00"/>
        <d v="2005-06-01T00:00:00"/>
        <d v="2004-12-15T00:00:00"/>
        <d v="2005-10-08T00:00:00"/>
        <d v="2004-12-22T00:00:00"/>
        <d v="2024-01-12T00:00:00"/>
        <d v="2024-05-21T00:00:00"/>
        <d v="2024-04-23T00:00:00"/>
        <d v="2024-12-22T00:00:00"/>
        <d v="2024-03-29T00:00:00"/>
        <d v="2024-05-15T00:00:00"/>
        <d v="2024-07-10T00:00:00"/>
        <d v="2024-02-02T00:00:00"/>
        <d v="2024-03-03T00:00:00"/>
        <d v="2024-01-20T00:00:00"/>
        <d v="2024-12-25T00:00:00"/>
        <d v="2024-07-15T00:00:00"/>
        <d v="2024-12-18T00:00:00"/>
        <d v="2024-01-06T00:00:00"/>
        <d v="2024-11-11T00:00:00"/>
        <d v="2024-10-10T00:00:00"/>
        <d v="2024-08-05T00:00:00"/>
        <d v="2024-09-15T00:00:00"/>
        <m/>
      </sharedItems>
      <fieldGroup base="7">
        <rangePr groupBy="years" startDate="2002-12-10T00:00:00" endDate="2024-12-26T00:00:00"/>
        <groupItems count="25">
          <s v="(blank)"/>
          <s v="2002"/>
          <s v="2003"/>
          <s v="2004"/>
          <s v="2005"/>
          <s v="2006"/>
          <s v="2007"/>
          <s v="2008"/>
          <s v="2009"/>
          <s v="2010"/>
          <s v="2011"/>
          <s v="2012"/>
          <s v="2013"/>
          <s v="2014"/>
          <s v="2015"/>
          <s v="2016"/>
          <s v="2017"/>
          <s v="2018"/>
          <s v="2019"/>
          <s v="2020"/>
          <s v="2021"/>
          <s v="2022"/>
          <s v="2023"/>
          <s v="2024"/>
          <s v="&gt;26/12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0">
  <r>
    <s v="100A"/>
    <s v="Albert"/>
    <s v="Peterson"/>
    <x v="0"/>
    <x v="0"/>
    <n v="55"/>
    <x v="0"/>
    <x v="0"/>
  </r>
  <r>
    <s v="101b"/>
    <s v="Prince"/>
    <s v="jaden"/>
    <x v="0"/>
    <x v="1"/>
    <n v="47"/>
    <x v="1"/>
    <x v="1"/>
  </r>
  <r>
    <s v="102c"/>
    <s v="Green"/>
    <s v="Nathan"/>
    <x v="0"/>
    <x v="2"/>
    <n v="38"/>
    <x v="2"/>
    <x v="2"/>
  </r>
  <r>
    <s v="103d"/>
    <s v="philo"/>
    <s v="White"/>
    <x v="1"/>
    <x v="3"/>
    <n v="47"/>
    <x v="3"/>
    <x v="2"/>
  </r>
  <r>
    <s v="104w"/>
    <s v="John"/>
    <s v="Brown"/>
    <x v="0"/>
    <x v="2"/>
    <n v="28"/>
    <x v="4"/>
    <x v="3"/>
  </r>
  <r>
    <s v="105F"/>
    <s v="Josphine"/>
    <s v="Trunk"/>
    <x v="1"/>
    <x v="0"/>
    <n v="60"/>
    <x v="5"/>
    <x v="4"/>
  </r>
  <r>
    <s v="106Y"/>
    <s v="Carol"/>
    <s v="Jordan"/>
    <x v="1"/>
    <x v="0"/>
    <n v="53"/>
    <x v="6"/>
    <x v="5"/>
  </r>
  <r>
    <s v="107T"/>
    <s v="Stephnie"/>
    <s v="Johnson"/>
    <x v="1"/>
    <x v="1"/>
    <n v="40"/>
    <x v="7"/>
    <x v="3"/>
  </r>
  <r>
    <s v="108p"/>
    <s v="Craig"/>
    <s v="Lambert"/>
    <x v="0"/>
    <x v="4"/>
    <n v="39"/>
    <x v="8"/>
    <x v="0"/>
  </r>
  <r>
    <s v="109Y"/>
    <s v="Ginika"/>
    <s v="Nzleu"/>
    <x v="1"/>
    <x v="3"/>
    <n v="30"/>
    <x v="9"/>
    <x v="6"/>
  </r>
  <r>
    <s v="110U"/>
    <s v="Chidinma"/>
    <s v="nzelu"/>
    <x v="1"/>
    <x v="2"/>
    <n v="20"/>
    <x v="10"/>
    <x v="7"/>
  </r>
  <r>
    <s v="111K"/>
    <s v="Joseph"/>
    <s v="Obi"/>
    <x v="0"/>
    <x v="5"/>
    <n v="45"/>
    <x v="3"/>
    <x v="8"/>
  </r>
  <r>
    <s v="112l"/>
    <s v="Chike"/>
    <s v="John"/>
    <x v="0"/>
    <x v="4"/>
    <n v="25"/>
    <x v="11"/>
    <x v="9"/>
  </r>
  <r>
    <s v="113G"/>
    <s v="Joshua"/>
    <s v="Peter"/>
    <x v="0"/>
    <x v="3"/>
    <n v="15"/>
    <x v="12"/>
    <x v="10"/>
  </r>
  <r>
    <s v="114M"/>
    <s v="mary"/>
    <s v="Chukwudi"/>
    <x v="1"/>
    <x v="4"/>
    <n v="10"/>
    <x v="13"/>
    <x v="11"/>
  </r>
  <r>
    <s v="115C"/>
    <s v="Mathew"/>
    <s v="Phillip"/>
    <x v="0"/>
    <x v="2"/>
    <n v="18"/>
    <x v="14"/>
    <x v="12"/>
  </r>
  <r>
    <s v="116X"/>
    <s v="Mayjane"/>
    <s v="Kamen"/>
    <x v="1"/>
    <x v="0"/>
    <n v="28"/>
    <x v="7"/>
    <x v="13"/>
  </r>
  <r>
    <s v="117H"/>
    <s v="Chijioke"/>
    <s v="John"/>
    <x v="0"/>
    <x v="5"/>
    <n v="40"/>
    <x v="15"/>
    <x v="14"/>
  </r>
  <r>
    <s v="118S"/>
    <s v="Oluebube"/>
    <s v="Phillip"/>
    <x v="1"/>
    <x v="1"/>
    <n v="20"/>
    <x v="13"/>
    <x v="15"/>
  </r>
  <r>
    <s v="119V"/>
    <s v="Solomon"/>
    <s v="Chukwuma"/>
    <x v="0"/>
    <x v="1"/>
    <n v="12"/>
    <x v="16"/>
    <x v="16"/>
  </r>
  <r>
    <s v="120Q"/>
    <s v="chioma"/>
    <s v="Chukwuka"/>
    <x v="1"/>
    <x v="5"/>
    <n v="45"/>
    <x v="17"/>
    <x v="17"/>
  </r>
  <r>
    <s v="121E"/>
    <s v="Chika"/>
    <s v="Mark"/>
    <x v="0"/>
    <x v="2"/>
    <n v="28"/>
    <x v="13"/>
    <x v="18"/>
  </r>
  <r>
    <s v="122K"/>
    <s v="Ujunwa"/>
    <s v="Obidike"/>
    <x v="1"/>
    <x v="3"/>
    <n v="35"/>
    <x v="1"/>
    <x v="19"/>
  </r>
  <r>
    <s v="123P"/>
    <s v="Kamsi"/>
    <s v="Emeka"/>
    <x v="0"/>
    <x v="3"/>
    <n v="45"/>
    <x v="18"/>
    <x v="20"/>
  </r>
  <r>
    <s v="124H"/>
    <s v="nafisat"/>
    <s v="Joseph"/>
    <x v="1"/>
    <x v="4"/>
    <n v="10"/>
    <x v="19"/>
    <x v="21"/>
  </r>
  <r>
    <s v="125E"/>
    <s v="Tochukwu"/>
    <s v="Emenike"/>
    <x v="0"/>
    <x v="4"/>
    <n v="20"/>
    <x v="20"/>
    <x v="22"/>
  </r>
  <r>
    <s v="126Q"/>
    <s v="Chinaza"/>
    <s v="Chima"/>
    <x v="1"/>
    <x v="3"/>
    <n v="30"/>
    <x v="21"/>
    <x v="23"/>
  </r>
  <r>
    <s v="127I"/>
    <s v="Emeka"/>
    <s v="Frank"/>
    <x v="1"/>
    <x v="4"/>
    <n v="40"/>
    <x v="22"/>
    <x v="24"/>
  </r>
  <r>
    <m/>
    <m/>
    <m/>
    <x v="2"/>
    <x v="6"/>
    <m/>
    <x v="23"/>
    <x v="25"/>
  </r>
  <r>
    <m/>
    <m/>
    <m/>
    <x v="2"/>
    <x v="6"/>
    <m/>
    <x v="23"/>
    <x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3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Date Sold">
  <location ref="F12:G18" firstHeaderRow="1" firstDataRow="1" firstDataCol="1"/>
  <pivotFields count="8">
    <pivotField showAll="0"/>
    <pivotField showAll="0"/>
    <pivotField showAll="0"/>
    <pivotField showAll="0"/>
    <pivotField showAll="0"/>
    <pivotField showAll="0"/>
    <pivotField dataField="1" showAll="0">
      <items count="25">
        <item x="16"/>
        <item x="12"/>
        <item x="14"/>
        <item x="2"/>
        <item x="21"/>
        <item x="6"/>
        <item x="8"/>
        <item x="13"/>
        <item x="5"/>
        <item x="11"/>
        <item x="15"/>
        <item x="17"/>
        <item x="7"/>
        <item x="1"/>
        <item x="4"/>
        <item x="3"/>
        <item x="18"/>
        <item x="0"/>
        <item x="10"/>
        <item x="20"/>
        <item x="22"/>
        <item x="19"/>
        <item x="9"/>
        <item x="23"/>
        <item t="default"/>
      </items>
    </pivotField>
    <pivotField axis="axisRow" showAll="0">
      <items count="26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 count="1">
    <field x="7"/>
  </rowFields>
  <rowItems count="6">
    <i>
      <x v="1"/>
    </i>
    <i>
      <x v="2"/>
    </i>
    <i>
      <x v="3"/>
    </i>
    <i>
      <x v="4"/>
    </i>
    <i>
      <x v="23"/>
    </i>
    <i t="grand">
      <x/>
    </i>
  </rowItems>
  <colItems count="1">
    <i/>
  </colItems>
  <dataFields count="1">
    <dataField name="Sum of Amount Sold" fld="6" baseField="7" baseItem="1" numFmtId="169"/>
  </dataFields>
  <formats count="9">
    <format dxfId="16">
      <pivotArea dataOnly="0" labelOnly="1" fieldPosition="0">
        <references count="1">
          <reference field="7" count="1">
            <x v="1"/>
          </reference>
        </references>
      </pivotArea>
    </format>
    <format dxfId="15">
      <pivotArea collapsedLevelsAreSubtotals="1" fieldPosition="0">
        <references count="1">
          <reference field="7" count="1">
            <x v="1"/>
          </reference>
        </references>
      </pivotArea>
    </format>
    <format dxfId="14">
      <pivotArea dataOnly="0" labelOnly="1" fieldPosition="0">
        <references count="1">
          <reference field="7" count="1">
            <x v="2"/>
          </reference>
        </references>
      </pivotArea>
    </format>
    <format dxfId="13">
      <pivotArea collapsedLevelsAreSubtotals="1" fieldPosition="0">
        <references count="1">
          <reference field="7" count="1">
            <x v="2"/>
          </reference>
        </references>
      </pivotArea>
    </format>
    <format dxfId="12">
      <pivotArea dataOnly="0" labelOnly="1" fieldPosition="0">
        <references count="1">
          <reference field="7" count="1">
            <x v="3"/>
          </reference>
        </references>
      </pivotArea>
    </format>
    <format dxfId="11">
      <pivotArea collapsedLevelsAreSubtotals="1" fieldPosition="0">
        <references count="1">
          <reference field="7" count="1">
            <x v="3"/>
          </reference>
        </references>
      </pivotArea>
    </format>
    <format dxfId="10">
      <pivotArea dataOnly="0" fieldPosition="0">
        <references count="1">
          <reference field="7" count="1">
            <x v="4"/>
          </reference>
        </references>
      </pivotArea>
    </format>
    <format dxfId="9">
      <pivotArea dataOnly="0" labelOnly="1" fieldPosition="0">
        <references count="1">
          <reference field="7" count="1">
            <x v="23"/>
          </reference>
        </references>
      </pivotArea>
    </format>
    <format dxfId="8">
      <pivotArea collapsedLevelsAreSubtotals="1" fieldPosition="0">
        <references count="1">
          <reference field="7" count="1">
            <x v="23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3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Gender">
  <location ref="H2:I5" firstHeaderRow="1" firstDataRow="1" firstDataCol="1"/>
  <pivotFields count="8">
    <pivotField showAll="0"/>
    <pivotField showAll="0"/>
    <pivotField showAll="0"/>
    <pivotField axis="axisRow" showAll="0">
      <items count="4">
        <item x="1"/>
        <item x="0"/>
        <item h="1" x="2"/>
        <item t="default"/>
      </items>
    </pivotField>
    <pivotField showAll="0"/>
    <pivotField dataField="1" showAll="0"/>
    <pivotField showAll="0"/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Average of Qauntity Sold" fld="5" subtotal="average" baseField="3" baseItem="0" numFmtId="10"/>
  </dataFields>
  <formats count="3">
    <format dxfId="20">
      <pivotArea dataOnly="0" fieldPosition="0">
        <references count="1">
          <reference field="3" count="1">
            <x v="0"/>
          </reference>
        </references>
      </pivotArea>
    </format>
    <format dxfId="19">
      <pivotArea dataOnly="0" labelOnly="1" fieldPosition="0">
        <references count="1">
          <reference field="3" count="1">
            <x v="1"/>
          </reference>
        </references>
      </pivotArea>
    </format>
    <format dxfId="18">
      <pivotArea collapsedLevelsAreSubtotals="1" fieldPosition="0">
        <references count="1">
          <reference field="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3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rowHeaderCaption="Department">
  <location ref="D2:E9" firstHeaderRow="1" firstDataRow="1" firstDataCol="1"/>
  <pivotFields count="8">
    <pivotField showAll="0"/>
    <pivotField showAll="0"/>
    <pivotField showAll="0"/>
    <pivotField showAll="0"/>
    <pivotField axis="axisRow" showAll="0">
      <items count="8">
        <item x="0"/>
        <item x="3"/>
        <item x="5"/>
        <item x="1"/>
        <item x="2"/>
        <item x="4"/>
        <item h="1" x="6"/>
        <item t="default"/>
      </items>
    </pivotField>
    <pivotField showAll="0"/>
    <pivotField dataField="1" showAll="0"/>
    <pivotField showAl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 Sold" fld="6" baseField="4" baseItem="0" numFmtId="169"/>
  </dataFields>
  <formats count="13">
    <format dxfId="27">
      <pivotArea dataOnly="0" labelOnly="1" fieldPosition="0">
        <references count="1">
          <reference field="4" count="1">
            <x v="0"/>
          </reference>
        </references>
      </pivotArea>
    </format>
    <format dxfId="26">
      <pivotArea dataOnly="0" labelOnly="1" fieldPosition="0">
        <references count="1">
          <reference field="4" count="1">
            <x v="2"/>
          </reference>
        </references>
      </pivotArea>
    </format>
    <format dxfId="25">
      <pivotArea dataOnly="0" labelOnly="1" fieldPosition="0">
        <references count="1">
          <reference field="4" count="1">
            <x v="3"/>
          </reference>
        </references>
      </pivotArea>
    </format>
    <format dxfId="24">
      <pivotArea dataOnly="0" fieldPosition="0">
        <references count="1">
          <reference field="4" count="1">
            <x v="5"/>
          </reference>
        </references>
      </pivotArea>
    </format>
    <format dxfId="23">
      <pivotArea collapsedLevelsAreSubtotals="1" fieldPosition="0">
        <references count="1">
          <reference field="4" count="1">
            <x v="0"/>
          </reference>
        </references>
      </pivotArea>
    </format>
    <format dxfId="22">
      <pivotArea collapsedLevelsAreSubtotals="1" fieldPosition="0">
        <references count="1">
          <reference field="4" count="1">
            <x v="2"/>
          </reference>
        </references>
      </pivotArea>
    </format>
    <format dxfId="21">
      <pivotArea collapsedLevelsAreSubtotals="1" fieldPosition="0">
        <references count="1">
          <reference field="4" count="1">
            <x v="3"/>
          </reference>
        </references>
      </pivotArea>
    </format>
    <format dxfId="17">
      <pivotArea grandRow="1" outline="0" collapsedLevelsAreSubtotals="1" fieldPosition="0"/>
    </format>
    <format dxfId="7">
      <pivotArea dataOnly="0" fieldPosition="0">
        <references count="1">
          <reference field="4" count="1">
            <x v="1"/>
          </reference>
        </references>
      </pivotArea>
    </format>
    <format dxfId="6">
      <pivotArea collapsedLevelsAreSubtotals="1" fieldPosition="0">
        <references count="1">
          <reference field="4" count="1">
            <x v="4"/>
          </reference>
        </references>
      </pivotArea>
    </format>
    <format dxfId="5">
      <pivotArea dataOnly="0" labelOnly="1" fieldPosition="0">
        <references count="1">
          <reference field="4" count="1">
            <x v="4"/>
          </reference>
        </references>
      </pivotArea>
    </format>
    <format dxfId="4">
      <pivotArea collapsedLevelsAreSubtotals="1" fieldPosition="0">
        <references count="1">
          <reference field="4" count="1">
            <x v="5"/>
          </reference>
        </references>
      </pivotArea>
    </format>
    <format dxfId="3">
      <pivotArea dataOnly="0" labelOnly="1" fieldPosition="0">
        <references count="1">
          <reference field="4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H31">
  <autoFilter ref="A1:H31"/>
  <tableColumns count="8">
    <tableColumn id="1" name="Customer ID" totalsRowLabel="Total"/>
    <tableColumn id="2" name="FirstName"/>
    <tableColumn id="3" name="SurName"/>
    <tableColumn id="4" name="Gender"/>
    <tableColumn id="5" name="Department"/>
    <tableColumn id="6" name="Qauntity Sold"/>
    <tableColumn id="7" name="Amount Sold" dataDxfId="28"/>
    <tableColumn id="8" name="Date Sold" totalsRowFunction="count" dataDxfId="29" totalsRowDxfId="30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workbookViewId="0">
      <selection activeCell="I1" sqref="I1"/>
    </sheetView>
  </sheetViews>
  <sheetFormatPr defaultRowHeight="15" x14ac:dyDescent="0.25"/>
  <cols>
    <col min="1" max="1" width="14.42578125" customWidth="1"/>
    <col min="2" max="2" width="13.7109375" customWidth="1"/>
    <col min="3" max="3" width="13.28515625" customWidth="1"/>
    <col min="4" max="4" width="13.85546875" customWidth="1"/>
    <col min="5" max="5" width="17.140625" customWidth="1"/>
    <col min="6" max="6" width="15.140625" customWidth="1"/>
    <col min="7" max="7" width="19.85546875" style="3" customWidth="1"/>
    <col min="8" max="8" width="17.5703125" style="1" customWidth="1"/>
    <col min="9" max="9" width="17.5703125" customWidth="1"/>
    <col min="10" max="10" width="27.28515625" customWidth="1"/>
  </cols>
  <sheetData>
    <row r="1" spans="1:10" ht="18.7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1" t="s">
        <v>7</v>
      </c>
      <c r="J1" s="10" t="s">
        <v>100</v>
      </c>
    </row>
    <row r="2" spans="1:10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55</v>
      </c>
      <c r="G2" s="3">
        <v>150000</v>
      </c>
      <c r="H2" s="2">
        <v>37875</v>
      </c>
      <c r="J2" t="str">
        <f>B2&amp;" "&amp;C2</f>
        <v>Albert Peterson</v>
      </c>
    </row>
    <row r="3" spans="1:10" x14ac:dyDescent="0.25">
      <c r="A3" t="s">
        <v>13</v>
      </c>
      <c r="B3" t="s">
        <v>14</v>
      </c>
      <c r="C3" t="s">
        <v>15</v>
      </c>
      <c r="D3" t="s">
        <v>11</v>
      </c>
      <c r="E3" t="s">
        <v>16</v>
      </c>
      <c r="F3">
        <v>47</v>
      </c>
      <c r="G3" s="3">
        <v>70000</v>
      </c>
      <c r="H3" s="2">
        <v>37695</v>
      </c>
      <c r="J3" t="str">
        <f>B3&amp;" "&amp;C3</f>
        <v>Prince jaden</v>
      </c>
    </row>
    <row r="4" spans="1:10" x14ac:dyDescent="0.25">
      <c r="A4" t="s">
        <v>17</v>
      </c>
      <c r="B4" t="s">
        <v>18</v>
      </c>
      <c r="C4" t="s">
        <v>19</v>
      </c>
      <c r="D4" t="s">
        <v>11</v>
      </c>
      <c r="E4" t="s">
        <v>20</v>
      </c>
      <c r="F4">
        <v>38</v>
      </c>
      <c r="G4" s="3">
        <v>23000</v>
      </c>
      <c r="H4" s="2">
        <v>37600</v>
      </c>
      <c r="J4" t="str">
        <f>B4&amp;" "&amp;C4</f>
        <v>Green Nathan</v>
      </c>
    </row>
    <row r="5" spans="1:10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>
        <v>47</v>
      </c>
      <c r="G5" s="3">
        <v>100000</v>
      </c>
      <c r="H5" s="2">
        <v>37600</v>
      </c>
      <c r="J5" t="str">
        <f>B5&amp;" "&amp;C5</f>
        <v>philo White</v>
      </c>
    </row>
    <row r="6" spans="1:10" x14ac:dyDescent="0.25">
      <c r="A6" t="s">
        <v>26</v>
      </c>
      <c r="B6" t="s">
        <v>27</v>
      </c>
      <c r="C6" t="s">
        <v>28</v>
      </c>
      <c r="D6" t="s">
        <v>11</v>
      </c>
      <c r="E6" t="s">
        <v>20</v>
      </c>
      <c r="F6">
        <v>28</v>
      </c>
      <c r="G6" s="3">
        <v>90000</v>
      </c>
      <c r="H6" s="2">
        <v>38504</v>
      </c>
      <c r="J6" t="str">
        <f>B6&amp;" "&amp;C6</f>
        <v>John Brown</v>
      </c>
    </row>
    <row r="7" spans="1:10" x14ac:dyDescent="0.25">
      <c r="A7" t="s">
        <v>29</v>
      </c>
      <c r="B7" t="s">
        <v>30</v>
      </c>
      <c r="C7" t="s">
        <v>31</v>
      </c>
      <c r="D7" t="s">
        <v>24</v>
      </c>
      <c r="E7" t="s">
        <v>12</v>
      </c>
      <c r="F7">
        <v>60</v>
      </c>
      <c r="G7" s="3">
        <v>45000</v>
      </c>
      <c r="H7" s="2">
        <v>38336</v>
      </c>
      <c r="J7" t="str">
        <f>B7&amp;" "&amp;C7</f>
        <v>Josphine Trunk</v>
      </c>
    </row>
    <row r="8" spans="1:10" x14ac:dyDescent="0.25">
      <c r="A8" t="s">
        <v>32</v>
      </c>
      <c r="B8" t="s">
        <v>33</v>
      </c>
      <c r="C8" t="s">
        <v>34</v>
      </c>
      <c r="D8" t="s">
        <v>24</v>
      </c>
      <c r="E8" t="s">
        <v>12</v>
      </c>
      <c r="F8">
        <v>53</v>
      </c>
      <c r="G8" s="3">
        <v>28000</v>
      </c>
      <c r="H8" s="2">
        <v>38633</v>
      </c>
      <c r="J8" t="str">
        <f>B8&amp;" "&amp;C8</f>
        <v>Carol Jordan</v>
      </c>
    </row>
    <row r="9" spans="1:10" x14ac:dyDescent="0.25">
      <c r="A9" t="s">
        <v>35</v>
      </c>
      <c r="B9" t="s">
        <v>36</v>
      </c>
      <c r="C9" t="s">
        <v>37</v>
      </c>
      <c r="D9" t="s">
        <v>24</v>
      </c>
      <c r="E9" t="s">
        <v>16</v>
      </c>
      <c r="F9">
        <v>40</v>
      </c>
      <c r="G9" s="3">
        <v>65000</v>
      </c>
      <c r="H9" s="2">
        <v>38504</v>
      </c>
      <c r="J9" t="str">
        <f>B9&amp;" "&amp;C9</f>
        <v>Stephnie Johnson</v>
      </c>
    </row>
    <row r="10" spans="1:10" x14ac:dyDescent="0.25">
      <c r="A10" t="s">
        <v>38</v>
      </c>
      <c r="B10" t="s">
        <v>39</v>
      </c>
      <c r="C10" t="s">
        <v>40</v>
      </c>
      <c r="D10" t="s">
        <v>11</v>
      </c>
      <c r="E10" t="s">
        <v>41</v>
      </c>
      <c r="F10">
        <v>39</v>
      </c>
      <c r="G10" s="3">
        <v>30000</v>
      </c>
      <c r="H10" s="2">
        <v>37875</v>
      </c>
      <c r="J10" t="str">
        <f>B10&amp;" "&amp;C10</f>
        <v>Craig Lambert</v>
      </c>
    </row>
    <row r="11" spans="1:10" x14ac:dyDescent="0.25">
      <c r="A11" t="s">
        <v>42</v>
      </c>
      <c r="B11" t="s">
        <v>43</v>
      </c>
      <c r="C11" t="s">
        <v>44</v>
      </c>
      <c r="D11" t="s">
        <v>24</v>
      </c>
      <c r="E11" t="s">
        <v>25</v>
      </c>
      <c r="F11">
        <v>30</v>
      </c>
      <c r="G11" s="3">
        <v>20000000</v>
      </c>
      <c r="H11" s="2">
        <v>38343</v>
      </c>
      <c r="J11" t="str">
        <f>B11&amp;" "&amp;C11</f>
        <v>Ginika Nzleu</v>
      </c>
    </row>
    <row r="12" spans="1:10" x14ac:dyDescent="0.25">
      <c r="A12" t="s">
        <v>45</v>
      </c>
      <c r="B12" t="s">
        <v>46</v>
      </c>
      <c r="C12" t="s">
        <v>47</v>
      </c>
      <c r="D12" t="s">
        <v>24</v>
      </c>
      <c r="E12" t="s">
        <v>20</v>
      </c>
      <c r="F12">
        <v>20</v>
      </c>
      <c r="G12" s="3">
        <v>450000</v>
      </c>
      <c r="H12" s="2">
        <v>45303</v>
      </c>
      <c r="J12" t="str">
        <f>B12&amp;" "&amp;C12</f>
        <v>Chidinma nzelu</v>
      </c>
    </row>
    <row r="13" spans="1:10" x14ac:dyDescent="0.25">
      <c r="A13" t="s">
        <v>48</v>
      </c>
      <c r="B13" t="s">
        <v>49</v>
      </c>
      <c r="C13" t="s">
        <v>50</v>
      </c>
      <c r="D13" t="s">
        <v>11</v>
      </c>
      <c r="E13" t="s">
        <v>51</v>
      </c>
      <c r="F13">
        <v>45</v>
      </c>
      <c r="G13" s="3">
        <v>100000</v>
      </c>
      <c r="H13" s="2">
        <v>45433</v>
      </c>
      <c r="J13" t="str">
        <f>B13&amp;" "&amp;C13</f>
        <v>Joseph Obi</v>
      </c>
    </row>
    <row r="14" spans="1:10" x14ac:dyDescent="0.25">
      <c r="A14" t="s">
        <v>52</v>
      </c>
      <c r="B14" t="s">
        <v>53</v>
      </c>
      <c r="C14" t="s">
        <v>27</v>
      </c>
      <c r="D14" t="s">
        <v>11</v>
      </c>
      <c r="E14" t="s">
        <v>41</v>
      </c>
      <c r="F14">
        <v>25</v>
      </c>
      <c r="G14" s="3">
        <v>50000</v>
      </c>
      <c r="H14" s="2">
        <v>45405</v>
      </c>
      <c r="J14" t="str">
        <f>B14&amp;" "&amp;C14</f>
        <v>Chike John</v>
      </c>
    </row>
    <row r="15" spans="1:10" x14ac:dyDescent="0.25">
      <c r="A15" t="s">
        <v>54</v>
      </c>
      <c r="B15" t="s">
        <v>55</v>
      </c>
      <c r="C15" t="s">
        <v>56</v>
      </c>
      <c r="D15" t="s">
        <v>11</v>
      </c>
      <c r="E15" t="s">
        <v>25</v>
      </c>
      <c r="F15">
        <v>15</v>
      </c>
      <c r="G15" s="3">
        <v>10000</v>
      </c>
      <c r="H15" s="2">
        <v>45648</v>
      </c>
      <c r="J15" t="str">
        <f>B15&amp;" "&amp;C15</f>
        <v>Joshua Peter</v>
      </c>
    </row>
    <row r="16" spans="1:10" x14ac:dyDescent="0.25">
      <c r="A16" t="s">
        <v>57</v>
      </c>
      <c r="B16" t="s">
        <v>58</v>
      </c>
      <c r="C16" t="s">
        <v>59</v>
      </c>
      <c r="D16" t="s">
        <v>24</v>
      </c>
      <c r="E16" t="s">
        <v>41</v>
      </c>
      <c r="F16">
        <v>10</v>
      </c>
      <c r="G16" s="3">
        <v>35000</v>
      </c>
      <c r="H16" s="2">
        <v>45380</v>
      </c>
      <c r="J16" t="str">
        <f>B16&amp;" "&amp;C16</f>
        <v>mary Chukwudi</v>
      </c>
    </row>
    <row r="17" spans="1:10" x14ac:dyDescent="0.25">
      <c r="A17" t="s">
        <v>60</v>
      </c>
      <c r="B17" t="s">
        <v>61</v>
      </c>
      <c r="C17" t="s">
        <v>62</v>
      </c>
      <c r="D17" t="s">
        <v>11</v>
      </c>
      <c r="E17" t="s">
        <v>20</v>
      </c>
      <c r="F17">
        <v>18</v>
      </c>
      <c r="G17" s="3">
        <v>15000</v>
      </c>
      <c r="H17" s="2">
        <v>45427</v>
      </c>
      <c r="J17" t="str">
        <f>B17&amp;" "&amp;C17</f>
        <v>Mathew Phillip</v>
      </c>
    </row>
    <row r="18" spans="1:10" x14ac:dyDescent="0.25">
      <c r="A18" t="s">
        <v>63</v>
      </c>
      <c r="B18" t="s">
        <v>64</v>
      </c>
      <c r="C18" t="s">
        <v>65</v>
      </c>
      <c r="D18" t="s">
        <v>24</v>
      </c>
      <c r="E18" t="s">
        <v>12</v>
      </c>
      <c r="F18">
        <v>28</v>
      </c>
      <c r="G18" s="3">
        <v>65000</v>
      </c>
      <c r="H18" s="2">
        <v>45483</v>
      </c>
      <c r="J18" t="str">
        <f>B18&amp;" "&amp;C18</f>
        <v>Mayjane Kamen</v>
      </c>
    </row>
    <row r="19" spans="1:10" x14ac:dyDescent="0.25">
      <c r="A19" t="s">
        <v>66</v>
      </c>
      <c r="B19" t="s">
        <v>67</v>
      </c>
      <c r="C19" t="s">
        <v>68</v>
      </c>
      <c r="D19" t="s">
        <v>11</v>
      </c>
      <c r="E19" t="s">
        <v>51</v>
      </c>
      <c r="F19">
        <v>40</v>
      </c>
      <c r="G19" s="3">
        <v>55000</v>
      </c>
      <c r="H19" s="2">
        <v>45324</v>
      </c>
      <c r="J19" t="str">
        <f>B19&amp;" "&amp;C19</f>
        <v>Chijioke john</v>
      </c>
    </row>
    <row r="20" spans="1:10" x14ac:dyDescent="0.25">
      <c r="A20" t="s">
        <v>69</v>
      </c>
      <c r="B20" t="s">
        <v>70</v>
      </c>
      <c r="C20" t="s">
        <v>62</v>
      </c>
      <c r="D20" t="s">
        <v>24</v>
      </c>
      <c r="E20" t="s">
        <v>16</v>
      </c>
      <c r="F20">
        <v>20</v>
      </c>
      <c r="G20" s="3">
        <v>35000</v>
      </c>
      <c r="H20" s="2">
        <v>45354</v>
      </c>
      <c r="J20" t="str">
        <f>B20&amp;" "&amp;C20</f>
        <v>Oluebube Phillip</v>
      </c>
    </row>
    <row r="21" spans="1:10" x14ac:dyDescent="0.25">
      <c r="A21" t="s">
        <v>71</v>
      </c>
      <c r="B21" t="s">
        <v>72</v>
      </c>
      <c r="C21" t="s">
        <v>73</v>
      </c>
      <c r="D21" t="s">
        <v>11</v>
      </c>
      <c r="E21" t="s">
        <v>16</v>
      </c>
      <c r="F21">
        <v>12</v>
      </c>
      <c r="G21" s="3">
        <v>5000</v>
      </c>
      <c r="H21" s="2">
        <v>45311</v>
      </c>
      <c r="J21" t="str">
        <f>B21&amp;" "&amp;C21</f>
        <v>Solomon Chukwuma</v>
      </c>
    </row>
    <row r="22" spans="1:10" x14ac:dyDescent="0.25">
      <c r="A22" t="s">
        <v>74</v>
      </c>
      <c r="B22" t="s">
        <v>75</v>
      </c>
      <c r="C22" t="s">
        <v>76</v>
      </c>
      <c r="D22" t="s">
        <v>24</v>
      </c>
      <c r="E22" t="s">
        <v>51</v>
      </c>
      <c r="F22">
        <v>45</v>
      </c>
      <c r="G22" s="3">
        <v>60000</v>
      </c>
      <c r="H22" s="2">
        <v>45651</v>
      </c>
      <c r="J22" t="str">
        <f>B22&amp;" "&amp;C22</f>
        <v>chioma Chukwuka</v>
      </c>
    </row>
    <row r="23" spans="1:10" x14ac:dyDescent="0.25">
      <c r="A23" t="s">
        <v>77</v>
      </c>
      <c r="B23" t="s">
        <v>78</v>
      </c>
      <c r="C23" t="s">
        <v>79</v>
      </c>
      <c r="D23" t="s">
        <v>11</v>
      </c>
      <c r="E23" t="s">
        <v>20</v>
      </c>
      <c r="F23">
        <v>28</v>
      </c>
      <c r="G23" s="3">
        <v>35000</v>
      </c>
      <c r="H23" s="2">
        <v>45488</v>
      </c>
      <c r="J23" t="str">
        <f>B23&amp;" "&amp;C23</f>
        <v>Chika Mark</v>
      </c>
    </row>
    <row r="24" spans="1:10" x14ac:dyDescent="0.25">
      <c r="A24" t="s">
        <v>80</v>
      </c>
      <c r="B24" t="s">
        <v>81</v>
      </c>
      <c r="C24" t="s">
        <v>82</v>
      </c>
      <c r="D24" t="s">
        <v>24</v>
      </c>
      <c r="E24" t="s">
        <v>25</v>
      </c>
      <c r="F24">
        <v>35</v>
      </c>
      <c r="G24" s="3">
        <v>70000</v>
      </c>
      <c r="H24" s="2">
        <v>45644</v>
      </c>
      <c r="J24" t="str">
        <f>B24&amp;" "&amp;C24</f>
        <v>Ujunwa Obidike</v>
      </c>
    </row>
    <row r="25" spans="1:10" x14ac:dyDescent="0.25">
      <c r="A25" t="s">
        <v>83</v>
      </c>
      <c r="B25" t="s">
        <v>84</v>
      </c>
      <c r="C25" t="s">
        <v>85</v>
      </c>
      <c r="D25" t="s">
        <v>11</v>
      </c>
      <c r="E25" t="s">
        <v>25</v>
      </c>
      <c r="F25">
        <v>45</v>
      </c>
      <c r="G25" s="3">
        <v>105000</v>
      </c>
      <c r="H25" s="2">
        <v>45297</v>
      </c>
      <c r="J25" t="str">
        <f>B25&amp;" "&amp;C25</f>
        <v>Kamsi Emeka</v>
      </c>
    </row>
    <row r="26" spans="1:10" x14ac:dyDescent="0.25">
      <c r="A26" t="s">
        <v>86</v>
      </c>
      <c r="B26" t="s">
        <v>87</v>
      </c>
      <c r="C26" t="s">
        <v>49</v>
      </c>
      <c r="D26" t="s">
        <v>24</v>
      </c>
      <c r="E26" t="s">
        <v>41</v>
      </c>
      <c r="F26">
        <v>10</v>
      </c>
      <c r="G26" s="3">
        <v>1000000</v>
      </c>
      <c r="H26" s="2">
        <v>45607</v>
      </c>
      <c r="J26" t="str">
        <f>B26&amp;" "&amp;C26</f>
        <v>nafisat Joseph</v>
      </c>
    </row>
    <row r="27" spans="1:10" x14ac:dyDescent="0.25">
      <c r="A27" t="s">
        <v>88</v>
      </c>
      <c r="B27" t="s">
        <v>89</v>
      </c>
      <c r="C27" t="s">
        <v>90</v>
      </c>
      <c r="D27" t="s">
        <v>11</v>
      </c>
      <c r="E27" t="s">
        <v>41</v>
      </c>
      <c r="F27">
        <v>20</v>
      </c>
      <c r="G27" s="3">
        <v>500000</v>
      </c>
      <c r="H27" s="2">
        <v>45575</v>
      </c>
      <c r="J27" t="str">
        <f>B27&amp;" "&amp;C27</f>
        <v>Tochukwu Emenike</v>
      </c>
    </row>
    <row r="28" spans="1:10" x14ac:dyDescent="0.25">
      <c r="A28" t="s">
        <v>91</v>
      </c>
      <c r="B28" t="s">
        <v>92</v>
      </c>
      <c r="C28" t="s">
        <v>93</v>
      </c>
      <c r="D28" t="s">
        <v>24</v>
      </c>
      <c r="E28" t="s">
        <v>25</v>
      </c>
      <c r="F28">
        <v>30</v>
      </c>
      <c r="G28" s="3">
        <v>25000</v>
      </c>
      <c r="H28" s="2">
        <v>45509</v>
      </c>
      <c r="J28" t="str">
        <f>B28&amp;" "&amp;C28</f>
        <v>Chinaza Chima</v>
      </c>
    </row>
    <row r="29" spans="1:10" x14ac:dyDescent="0.25">
      <c r="A29" t="s">
        <v>94</v>
      </c>
      <c r="B29" t="s">
        <v>85</v>
      </c>
      <c r="C29" t="s">
        <v>95</v>
      </c>
      <c r="D29" t="s">
        <v>24</v>
      </c>
      <c r="E29" t="s">
        <v>41</v>
      </c>
      <c r="F29">
        <v>40</v>
      </c>
      <c r="G29" s="3">
        <v>800000</v>
      </c>
      <c r="H29" s="2">
        <v>45550</v>
      </c>
      <c r="J29" t="str">
        <f>B29&amp;" "&amp;C29</f>
        <v>Emeka Frank</v>
      </c>
    </row>
    <row r="30" spans="1:10" x14ac:dyDescent="0.25">
      <c r="H30" s="2"/>
    </row>
    <row r="31" spans="1:10" x14ac:dyDescent="0.25">
      <c r="H31" s="2"/>
    </row>
  </sheetData>
  <conditionalFormatting sqref="G1:G1048576">
    <cfRule type="cellIs" dxfId="2" priority="4" operator="greaterThan">
      <formula>100000</formula>
    </cfRule>
  </conditionalFormatting>
  <conditionalFormatting sqref="A2:H31">
    <cfRule type="expression" dxfId="1" priority="1">
      <formula>$E2="Fashion"</formula>
    </cfRule>
    <cfRule type="expression" dxfId="0" priority="3">
      <formula>$D2="Female"</formula>
    </cfRule>
  </conditionalFormatting>
  <conditionalFormatting sqref="F1:F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dataValidations count="3">
    <dataValidation type="list" allowBlank="1" showInputMessage="1" showErrorMessage="1" sqref="E1:E1048576">
      <formula1>"Babies, Fruits and Veggies, Pasteries, Fashion"</formula1>
    </dataValidation>
    <dataValidation type="whole" operator="greaterThan" allowBlank="1" showInputMessage="1" showErrorMessage="1" sqref="F1:F1048576">
      <formula1>0</formula1>
    </dataValidation>
    <dataValidation type="decimal" operator="lessThanOrEqual" allowBlank="1" showInputMessage="1" showErrorMessage="1" sqref="G1:G1048576">
      <formula1>200000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8"/>
  <sheetViews>
    <sheetView topLeftCell="A3" workbookViewId="0">
      <selection activeCell="C10" sqref="C10"/>
    </sheetView>
  </sheetViews>
  <sheetFormatPr defaultRowHeight="15" x14ac:dyDescent="0.25"/>
  <cols>
    <col min="1" max="1" width="38.5703125" customWidth="1"/>
    <col min="2" max="2" width="18" customWidth="1"/>
    <col min="4" max="4" width="17.42578125" customWidth="1"/>
    <col min="5" max="5" width="19.28515625" customWidth="1"/>
    <col min="6" max="6" width="11.7109375" customWidth="1"/>
    <col min="7" max="7" width="19.28515625" customWidth="1"/>
    <col min="8" max="8" width="11.28515625" customWidth="1"/>
    <col min="9" max="9" width="23.42578125" bestFit="1" customWidth="1"/>
  </cols>
  <sheetData>
    <row r="2" spans="1:9" x14ac:dyDescent="0.25">
      <c r="A2" s="5" t="s">
        <v>96</v>
      </c>
      <c r="B2" s="4">
        <f>SUM(Table1[Amount Sold])</f>
        <v>24016000</v>
      </c>
      <c r="D2" s="14" t="s">
        <v>4</v>
      </c>
      <c r="E2" t="s">
        <v>102</v>
      </c>
      <c r="H2" s="14" t="s">
        <v>3</v>
      </c>
      <c r="I2" t="s">
        <v>103</v>
      </c>
    </row>
    <row r="3" spans="1:9" x14ac:dyDescent="0.25">
      <c r="A3" s="6" t="s">
        <v>97</v>
      </c>
      <c r="B3" s="6">
        <f>AVERAGE(Sheet1!F:F)</f>
        <v>32.964285714285715</v>
      </c>
      <c r="D3" s="27" t="s">
        <v>12</v>
      </c>
      <c r="E3" s="30">
        <v>288000</v>
      </c>
      <c r="H3" s="34" t="s">
        <v>24</v>
      </c>
      <c r="I3" s="35">
        <v>33.428571428571431</v>
      </c>
    </row>
    <row r="4" spans="1:9" x14ac:dyDescent="0.25">
      <c r="A4" s="8" t="s">
        <v>98</v>
      </c>
      <c r="B4" s="9">
        <f>MAX(Sheet1!G:G)</f>
        <v>20000000</v>
      </c>
      <c r="D4" s="20" t="s">
        <v>25</v>
      </c>
      <c r="E4" s="25">
        <v>20310000</v>
      </c>
      <c r="H4" s="36" t="s">
        <v>11</v>
      </c>
      <c r="I4" s="37">
        <v>32.5</v>
      </c>
    </row>
    <row r="5" spans="1:9" x14ac:dyDescent="0.25">
      <c r="A5" s="7" t="s">
        <v>99</v>
      </c>
      <c r="B5" s="7">
        <f>MAX(Sheet1!F:F)-MIN(Sheet1!F:F)</f>
        <v>50</v>
      </c>
      <c r="D5" s="28" t="s">
        <v>51</v>
      </c>
      <c r="E5" s="31">
        <v>215000</v>
      </c>
      <c r="H5" s="15" t="s">
        <v>101</v>
      </c>
      <c r="I5" s="17">
        <v>32.964285714285715</v>
      </c>
    </row>
    <row r="6" spans="1:9" x14ac:dyDescent="0.25">
      <c r="D6" s="29" t="s">
        <v>16</v>
      </c>
      <c r="E6" s="32">
        <v>175000</v>
      </c>
    </row>
    <row r="7" spans="1:9" x14ac:dyDescent="0.25">
      <c r="D7" s="23" t="s">
        <v>20</v>
      </c>
      <c r="E7" s="24">
        <v>613000</v>
      </c>
    </row>
    <row r="8" spans="1:9" x14ac:dyDescent="0.25">
      <c r="D8" s="39" t="s">
        <v>41</v>
      </c>
      <c r="E8" s="40">
        <v>2415000</v>
      </c>
    </row>
    <row r="9" spans="1:9" ht="15.75" thickBot="1" x14ac:dyDescent="0.3">
      <c r="D9" s="15" t="s">
        <v>101</v>
      </c>
      <c r="E9" s="33">
        <v>24016000</v>
      </c>
    </row>
    <row r="10" spans="1:9" ht="15.75" thickTop="1" x14ac:dyDescent="0.25"/>
    <row r="11" spans="1:9" ht="15.75" thickTop="1" x14ac:dyDescent="0.25">
      <c r="A11" s="11"/>
      <c r="B11" s="12"/>
      <c r="C11" s="13"/>
    </row>
    <row r="12" spans="1:9" x14ac:dyDescent="0.25">
      <c r="A12" s="11"/>
      <c r="B12" s="12"/>
      <c r="C12" s="13"/>
      <c r="F12" s="14" t="s">
        <v>7</v>
      </c>
      <c r="G12" t="s">
        <v>102</v>
      </c>
    </row>
    <row r="13" spans="1:9" x14ac:dyDescent="0.25">
      <c r="A13" s="11"/>
      <c r="B13" s="12"/>
      <c r="C13" s="13"/>
      <c r="F13" s="26" t="s">
        <v>104</v>
      </c>
      <c r="G13" s="38">
        <v>123000</v>
      </c>
    </row>
    <row r="14" spans="1:9" x14ac:dyDescent="0.25">
      <c r="A14" s="11"/>
      <c r="B14" s="12"/>
      <c r="C14" s="13"/>
      <c r="F14" s="18" t="s">
        <v>105</v>
      </c>
      <c r="G14" s="21">
        <v>250000</v>
      </c>
    </row>
    <row r="15" spans="1:9" x14ac:dyDescent="0.25">
      <c r="A15" s="11"/>
      <c r="B15" s="12"/>
      <c r="C15" s="13"/>
      <c r="F15" s="20" t="s">
        <v>106</v>
      </c>
      <c r="G15" s="25">
        <v>20045000</v>
      </c>
    </row>
    <row r="16" spans="1:9" x14ac:dyDescent="0.25">
      <c r="A16" s="11"/>
      <c r="B16" s="12"/>
      <c r="C16" s="13"/>
      <c r="F16" s="19" t="s">
        <v>107</v>
      </c>
      <c r="G16" s="22">
        <v>183000</v>
      </c>
    </row>
    <row r="17" spans="1:7" x14ac:dyDescent="0.25">
      <c r="A17" s="11"/>
      <c r="B17" s="12"/>
      <c r="C17" s="13"/>
      <c r="F17" s="39" t="s">
        <v>108</v>
      </c>
      <c r="G17" s="40">
        <v>3415000</v>
      </c>
    </row>
    <row r="18" spans="1:7" x14ac:dyDescent="0.25">
      <c r="A18" s="11"/>
      <c r="B18" s="12"/>
      <c r="C18" s="13"/>
      <c r="F18" s="15" t="s">
        <v>101</v>
      </c>
      <c r="G18" s="16">
        <v>24016000</v>
      </c>
    </row>
    <row r="19" spans="1:7" x14ac:dyDescent="0.25">
      <c r="A19" s="11"/>
      <c r="B19" s="12"/>
      <c r="C19" s="13"/>
    </row>
    <row r="20" spans="1:7" x14ac:dyDescent="0.25">
      <c r="A20" s="11"/>
      <c r="B20" s="12"/>
      <c r="C20" s="13"/>
    </row>
    <row r="21" spans="1:7" x14ac:dyDescent="0.25">
      <c r="A21" s="11"/>
      <c r="B21" s="12"/>
      <c r="C21" s="13"/>
    </row>
    <row r="22" spans="1:7" x14ac:dyDescent="0.25">
      <c r="A22" s="11"/>
      <c r="B22" s="12"/>
      <c r="C22" s="13"/>
    </row>
    <row r="23" spans="1:7" x14ac:dyDescent="0.25">
      <c r="A23" s="11"/>
      <c r="B23" s="12"/>
      <c r="C23" s="13"/>
    </row>
    <row r="24" spans="1:7" x14ac:dyDescent="0.25">
      <c r="A24" s="11"/>
      <c r="B24" s="12"/>
      <c r="C24" s="13"/>
    </row>
    <row r="25" spans="1:7" x14ac:dyDescent="0.25">
      <c r="A25" s="11"/>
      <c r="B25" s="12"/>
      <c r="C25" s="13"/>
    </row>
    <row r="26" spans="1:7" x14ac:dyDescent="0.25">
      <c r="A26" s="11"/>
      <c r="B26" s="12"/>
      <c r="C26" s="13"/>
    </row>
    <row r="27" spans="1:7" x14ac:dyDescent="0.25">
      <c r="A27" s="11"/>
      <c r="B27" s="12"/>
      <c r="C27" s="13"/>
    </row>
    <row r="28" spans="1:7" x14ac:dyDescent="0.25">
      <c r="A28" s="11"/>
      <c r="B28" s="12"/>
      <c r="C28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Analysis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2026-05-27T20:51:16Z</dcterms:created>
  <dcterms:modified xsi:type="dcterms:W3CDTF">2026-05-27T23:47:52Z</dcterms:modified>
</cp:coreProperties>
</file>